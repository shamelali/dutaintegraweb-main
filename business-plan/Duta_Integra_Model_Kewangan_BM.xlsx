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lit Depan" sheetId="1" state="visible" r:id="rId1"/>
    <sheet xmlns:r="http://schemas.openxmlformats.org/officeDocument/2006/relationships" name="Andaian" sheetId="2" state="visible" r:id="rId2"/>
    <sheet xmlns:r="http://schemas.openxmlformats.org/officeDocument/2006/relationships" name="Model Hasil" sheetId="3" state="visible" r:id="rId3"/>
    <sheet xmlns:r="http://schemas.openxmlformats.org/officeDocument/2006/relationships" name="P&amp;L 3-Tahu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A1940"/>
      <sz val="20"/>
    </font>
    <font>
      <b val="1"/>
      <color rgb="00D4AF37"/>
      <sz val="16"/>
    </font>
    <font>
      <name val="Calibri"/>
      <b val="1"/>
      <color rgb="000A1940"/>
      <sz val="14"/>
    </font>
    <font>
      <name val="Calibri"/>
      <b val="1"/>
      <color rgb="000A1940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4AF37"/>
        <bgColor rgb="00D4AF37"/>
      </patternFill>
    </fill>
    <fill>
      <patternFill patternType="solid">
        <fgColor rgb="000A1940"/>
        <bgColor rgb="000A1940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9" fontId="0" fillId="0" borderId="0" pivotButton="0" quotePrefix="0" xfId="0"/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DUTA INTEGRA SOLUTIONS SDN BHD</t>
        </is>
      </c>
    </row>
    <row r="2">
      <c r="A2" s="2" t="inlineStr">
        <is>
          <t>Model Kewangan - Unjuran 3 Tahun (BM)</t>
        </is>
      </c>
    </row>
    <row r="4">
      <c r="A4" t="inlineStr">
        <is>
          <t>100% Milik Malaysia | Semua Produk &amp; Perkhidmatan Dimiliki</t>
        </is>
      </c>
    </row>
    <row r="6">
      <c r="A6" t="inlineStr">
        <is>
          <t>Disediakan: 21 Ogos 2026</t>
        </is>
      </c>
    </row>
    <row r="7">
      <c r="A7" t="inlineStr">
        <is>
          <t>Hubungi: hello@dutaintegra.my | +60 11-5403 4051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3" t="inlineStr">
        <is>
          <t>ANDAIAN</t>
        </is>
      </c>
    </row>
    <row r="3">
      <c r="A3" s="4" t="inlineStr">
        <is>
          <t>HARGA (MYR)</t>
        </is>
      </c>
      <c r="B3" s="4" t="n"/>
    </row>
    <row r="4">
      <c r="A4" t="inlineStr">
        <is>
          <t>Asas/bln</t>
        </is>
      </c>
      <c r="B4" t="n">
        <v>2000</v>
      </c>
    </row>
    <row r="5">
      <c r="A5" t="inlineStr">
        <is>
          <t>Pertumbuhan/bln</t>
        </is>
      </c>
      <c r="B5" t="n">
        <v>5300</v>
      </c>
    </row>
    <row r="6">
      <c r="A6" t="inlineStr">
        <is>
          <t>Rakan AI/bln</t>
        </is>
      </c>
      <c r="B6" t="n">
        <v>8300</v>
      </c>
    </row>
    <row r="7">
      <c r="A7" t="inlineStr">
        <is>
          <t>Laman Web sekali</t>
        </is>
      </c>
      <c r="B7" t="n">
        <v>2500</v>
      </c>
    </row>
    <row r="8">
      <c r="A8" t="inlineStr">
        <is>
          <t>AI Tersuai sekali</t>
        </is>
      </c>
      <c r="B8" t="n">
        <v>18000</v>
      </c>
    </row>
    <row r="10">
      <c r="A10" t="inlineStr">
        <is>
          <t>Diskaun Merdeka Ogos 69%</t>
        </is>
      </c>
      <c r="B10" s="5" t="n">
        <v>0.6899999999999999</v>
      </c>
    </row>
    <row r="11">
      <c r="A11" t="inlineStr">
        <is>
          <t>Churn bulanan 5%</t>
        </is>
      </c>
      <c r="B11" s="5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3" t="inlineStr">
        <is>
          <t>MODEL HASIL - 3 TAHUN</t>
        </is>
      </c>
    </row>
    <row r="3">
      <c r="A3" s="6" t="inlineStr">
        <is>
          <t>Metrik</t>
        </is>
      </c>
      <c r="B3" s="6" t="inlineStr">
        <is>
          <t>Tahun 1 (30)</t>
        </is>
      </c>
      <c r="C3" s="6" t="inlineStr">
        <is>
          <t>Tahun 2 (60)</t>
        </is>
      </c>
      <c r="D3" s="6" t="inlineStr">
        <is>
          <t>Tahun 3 (100)</t>
        </is>
      </c>
    </row>
    <row r="4">
      <c r="A4" t="inlineStr">
        <is>
          <t>Jumlah retainer</t>
        </is>
      </c>
      <c r="B4" t="n">
        <v>30</v>
      </c>
      <c r="C4" t="n">
        <v>60</v>
      </c>
      <c r="D4" t="n">
        <v>100</v>
      </c>
    </row>
    <row r="5">
      <c r="A5" t="inlineStr">
        <is>
          <t>MRR Asas</t>
        </is>
      </c>
      <c r="B5">
        <f>15*2000</f>
        <v/>
      </c>
      <c r="C5">
        <f>30*2000</f>
        <v/>
      </c>
      <c r="D5">
        <f>50*2000</f>
        <v/>
      </c>
    </row>
    <row r="6">
      <c r="A6" t="inlineStr">
        <is>
          <t>MRR Pertumbuhan</t>
        </is>
      </c>
      <c r="B6">
        <f>10*5300</f>
        <v/>
      </c>
      <c r="C6">
        <f>20*5300</f>
        <v/>
      </c>
      <c r="D6">
        <f>30*5300</f>
        <v/>
      </c>
    </row>
    <row r="7">
      <c r="A7" t="inlineStr">
        <is>
          <t>MRR Rakan AI</t>
        </is>
      </c>
      <c r="B7">
        <f>5*8300</f>
        <v/>
      </c>
      <c r="C7">
        <f>10*8300</f>
        <v/>
      </c>
      <c r="D7">
        <f>20*8300</f>
        <v/>
      </c>
    </row>
    <row r="8">
      <c r="A8" t="inlineStr">
        <is>
          <t>Jumlah MRR</t>
        </is>
      </c>
      <c r="B8">
        <f>SUM(B5:B7)</f>
        <v/>
      </c>
      <c r="C8">
        <f>SUM(C5:C7)</f>
        <v/>
      </c>
      <c r="D8">
        <f>SUM(D5:D7)</f>
        <v/>
      </c>
    </row>
    <row r="9">
      <c r="A9" t="inlineStr">
        <is>
          <t>ARR</t>
        </is>
      </c>
      <c r="B9">
        <f>B8*12</f>
        <v/>
      </c>
      <c r="C9">
        <f>C8*12</f>
        <v/>
      </c>
      <c r="D9">
        <f>D8*12</f>
        <v/>
      </c>
    </row>
    <row r="10">
      <c r="A10" t="inlineStr">
        <is>
          <t>Sekali Laman Web</t>
        </is>
      </c>
      <c r="B10">
        <f>20*2500</f>
        <v/>
      </c>
      <c r="C10">
        <f>30*2500</f>
        <v/>
      </c>
      <c r="D10">
        <f>40*2500</f>
        <v/>
      </c>
    </row>
    <row r="11">
      <c r="A11" t="inlineStr">
        <is>
          <t>Sekali AI</t>
        </is>
      </c>
      <c r="B11">
        <f>5*18000</f>
        <v/>
      </c>
      <c r="C11">
        <f>10*18000</f>
        <v/>
      </c>
      <c r="D11">
        <f>15*18000</f>
        <v/>
      </c>
    </row>
    <row r="12">
      <c r="A12" t="inlineStr">
        <is>
          <t>SaaS Leish</t>
        </is>
      </c>
      <c r="B12">
        <f>0</f>
        <v/>
      </c>
      <c r="C12">
        <f>100*199*12</f>
        <v/>
      </c>
      <c r="D12">
        <f>300*199*12</f>
        <v/>
      </c>
    </row>
    <row r="13">
      <c r="A13" t="inlineStr">
        <is>
          <t>SaaS Eastelpro</t>
        </is>
      </c>
      <c r="B13">
        <f>0</f>
        <v/>
      </c>
      <c r="C13">
        <f>50*299*12</f>
        <v/>
      </c>
      <c r="D13">
        <f>150*299*12</f>
        <v/>
      </c>
    </row>
    <row r="14">
      <c r="A14" t="inlineStr">
        <is>
          <t>SaaS AGMX</t>
        </is>
      </c>
      <c r="B14">
        <f>0</f>
        <v/>
      </c>
      <c r="C14">
        <f>20*499*12</f>
        <v/>
      </c>
      <c r="D14">
        <f>50*499*12</f>
        <v/>
      </c>
    </row>
    <row r="15">
      <c r="A15" t="inlineStr">
        <is>
          <t>Jumlah SaaS</t>
        </is>
      </c>
      <c r="B15">
        <f>SUM(B12:B14)</f>
        <v/>
      </c>
      <c r="C15">
        <f>SUM(C12:C14)</f>
        <v/>
      </c>
      <c r="D15">
        <f>SUM(D12:D14)</f>
        <v/>
      </c>
    </row>
    <row r="16">
      <c r="A16" t="inlineStr">
        <is>
          <t>JUMLAH HASIL</t>
        </is>
      </c>
      <c r="B16">
        <f>B9*12*0.5+B10+B11+B15</f>
        <v/>
      </c>
      <c r="C16">
        <f>B9*12*0.8+B10+B11+B15</f>
        <v/>
      </c>
      <c r="D16">
        <f>B9*12*0.9+B10+B11+B15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>
      <c r="A1" s="3" t="inlineStr">
        <is>
          <t>UNTUNG &amp; RUGI</t>
        </is>
      </c>
    </row>
    <row r="3">
      <c r="A3" s="6" t="inlineStr">
        <is>
          <t>Item</t>
        </is>
      </c>
      <c r="B3" s="6" t="inlineStr">
        <is>
          <t>Tahun 1</t>
        </is>
      </c>
      <c r="C3" s="6" t="inlineStr">
        <is>
          <t>Tahun 2</t>
        </is>
      </c>
      <c r="D3" s="6" t="inlineStr">
        <is>
          <t>Tahun 3</t>
        </is>
      </c>
    </row>
    <row r="4">
      <c r="A4" t="inlineStr">
        <is>
          <t>JUMLAH HASIL</t>
        </is>
      </c>
      <c r="B4">
        <f>'Model Hasil'!B16</f>
        <v/>
      </c>
      <c r="C4">
        <f>'Model Hasil'!C16</f>
        <v/>
      </c>
      <c r="D4">
        <f>'Model Hasil'!D16</f>
        <v/>
      </c>
    </row>
    <row r="5">
      <c r="A5" t="inlineStr">
        <is>
          <t>KOS Penyampaian</t>
        </is>
      </c>
      <c r="B5">
        <f> (15*700+10*2000+5*3300)*12</f>
        <v/>
      </c>
      <c r="C5">
        <f> (30*700+20*2000+10*3300)*12</f>
        <v/>
      </c>
      <c r="D5">
        <f> (50*700+30*2000+20*3300)*12</f>
        <v/>
      </c>
    </row>
    <row r="6">
      <c r="A6" t="inlineStr">
        <is>
          <t>Untung Kasar</t>
        </is>
      </c>
      <c r="B6">
        <f>B4-B5</f>
        <v/>
      </c>
      <c r="C6">
        <f>C4-C5</f>
        <v/>
      </c>
      <c r="D6">
        <f>D4-D5</f>
        <v/>
      </c>
    </row>
    <row r="7">
      <c r="A7" t="inlineStr">
        <is>
          <t>OPEX Kakitangan</t>
        </is>
      </c>
      <c r="B7" t="n">
        <v>300000</v>
      </c>
      <c r="C7" t="n">
        <v>600000</v>
      </c>
      <c r="D7" t="n">
        <v>1200000</v>
      </c>
    </row>
    <row r="8">
      <c r="A8" t="inlineStr">
        <is>
          <t>OPEX Pemasaran</t>
        </is>
      </c>
      <c r="B8" t="n">
        <v>80000</v>
      </c>
      <c r="C8" t="n">
        <v>150000</v>
      </c>
      <c r="D8" t="n">
        <v>250000</v>
      </c>
    </row>
    <row r="9">
      <c r="A9" t="inlineStr">
        <is>
          <t>JUMLAH OPEX</t>
        </is>
      </c>
      <c r="B9">
        <f>B7+B8</f>
        <v/>
      </c>
      <c r="C9">
        <f>C7+C8</f>
        <v/>
      </c>
      <c r="D9">
        <f>D7+D8</f>
        <v/>
      </c>
    </row>
    <row r="10">
      <c r="A10" t="inlineStr">
        <is>
          <t>EBITDA</t>
        </is>
      </c>
      <c r="B10">
        <f>B6-B9</f>
        <v/>
      </c>
      <c r="C10">
        <f>C6-C9</f>
        <v/>
      </c>
      <c r="D10">
        <f>D6-D9</f>
        <v/>
      </c>
    </row>
    <row r="11">
      <c r="A11" t="inlineStr">
        <is>
          <t>Margin EBITDA</t>
        </is>
      </c>
      <c r="B11">
        <f>B10/B4</f>
        <v/>
      </c>
      <c r="C11">
        <f>C10/C4</f>
        <v/>
      </c>
      <c r="D11">
        <f>D10/D4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2026-08-21T11:07:55Z</dcterms:created>
  <dcterms:modified xmlns:dcterms="http://purl.org/dc/terms/" xmlns:xsi="http://www.w3.org/2001/XMLSchema-instance" xsi:type="dcterms:W3CDTF">2026-08-21T11:07:55Z</dcterms:modified>
</cp:coreProperties>
</file>