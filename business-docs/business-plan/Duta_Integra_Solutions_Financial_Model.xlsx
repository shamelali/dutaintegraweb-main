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P&amp;L 3-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A1940"/>
      <sz val="20"/>
    </font>
    <font>
      <b val="1"/>
      <color rgb="00D4AF37"/>
      <sz val="16"/>
    </font>
    <font>
      <name val="Calibri"/>
      <b val="1"/>
      <color rgb="000A1940"/>
      <sz val="14"/>
    </font>
    <font>
      <name val="Calibri"/>
      <b val="1"/>
      <color rgb="000A194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4AF37"/>
        <bgColor rgb="00D4AF37"/>
      </patternFill>
    </fill>
    <fill>
      <patternFill patternType="solid">
        <fgColor rgb="000A1940"/>
        <bgColor rgb="000A194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9" fontId="0" fillId="0" borderId="0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DUTA INTEGRA SOLUTIONS SDN BHD</t>
        </is>
      </c>
    </row>
    <row r="2">
      <c r="A2" s="2" t="inlineStr">
        <is>
          <t>Financial Model - 3 Year Projection</t>
        </is>
      </c>
    </row>
    <row r="4">
      <c r="A4" t="inlineStr">
        <is>
          <t>100% Malaysian-Owned | All Products &amp; Services Owned</t>
        </is>
      </c>
    </row>
    <row r="6">
      <c r="A6" t="inlineStr">
        <is>
          <t>Prepared: 21 August 2026</t>
        </is>
      </c>
    </row>
    <row r="7">
      <c r="A7" t="inlineStr">
        <is>
          <t>Contact: hello@dutaintegra.my | +60 11-5403 4051</t>
        </is>
      </c>
    </row>
    <row r="9">
      <c r="A9" t="inlineStr">
        <is>
          <t>IP Ownership: All IP 100% owned by Duta Integra Solutions Sdn Bhd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ASSUMPTIONS</t>
        </is>
      </c>
    </row>
    <row r="3">
      <c r="A3" s="4" t="inlineStr">
        <is>
          <t>PRICING (MYR)</t>
        </is>
      </c>
      <c r="B3" s="4" t="n"/>
    </row>
    <row r="4">
      <c r="A4" t="inlineStr">
        <is>
          <t>Foundation/mo</t>
        </is>
      </c>
      <c r="B4" t="n">
        <v>2000</v>
      </c>
    </row>
    <row r="5">
      <c r="A5" t="inlineStr">
        <is>
          <t>Growth/mo</t>
        </is>
      </c>
      <c r="B5" t="n">
        <v>5300</v>
      </c>
    </row>
    <row r="6">
      <c r="A6" t="inlineStr">
        <is>
          <t>AI Partner/mo</t>
        </is>
      </c>
      <c r="B6" t="n">
        <v>8300</v>
      </c>
    </row>
    <row r="7">
      <c r="A7" t="inlineStr">
        <is>
          <t>Website one-off</t>
        </is>
      </c>
      <c r="B7" t="n">
        <v>2500</v>
      </c>
    </row>
    <row r="8">
      <c r="A8" t="inlineStr">
        <is>
          <t>Custom AI one-off</t>
        </is>
      </c>
      <c r="B8" t="n">
        <v>18000</v>
      </c>
    </row>
    <row r="10">
      <c r="A10" t="inlineStr">
        <is>
          <t>Merdeka Discount Aug 69%</t>
        </is>
      </c>
      <c r="B10" s="5" t="n">
        <v>0.6899999999999999</v>
      </c>
    </row>
    <row r="11">
      <c r="A11" t="inlineStr">
        <is>
          <t>Churn monthly 5%</t>
        </is>
      </c>
      <c r="B11" s="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REVENUE MODEL - 3 YEAR</t>
        </is>
      </c>
    </row>
    <row r="3">
      <c r="A3" s="6" t="inlineStr">
        <is>
          <t>Metric</t>
        </is>
      </c>
      <c r="B3" s="6" t="inlineStr">
        <is>
          <t>Year 1 (30)</t>
        </is>
      </c>
      <c r="C3" s="6" t="inlineStr">
        <is>
          <t>Year 2 (60)</t>
        </is>
      </c>
      <c r="D3" s="6" t="inlineStr">
        <is>
          <t>Year 3 (100)</t>
        </is>
      </c>
    </row>
    <row r="4">
      <c r="A4" t="inlineStr">
        <is>
          <t>Total retainers</t>
        </is>
      </c>
      <c r="B4" t="n">
        <v>30</v>
      </c>
      <c r="C4" t="n">
        <v>60</v>
      </c>
      <c r="D4" t="n">
        <v>100</v>
      </c>
    </row>
    <row r="5">
      <c r="A5" t="inlineStr">
        <is>
          <t>MRR Foundation</t>
        </is>
      </c>
      <c r="B5">
        <f>15*2000</f>
        <v/>
      </c>
      <c r="C5">
        <f>30*2000</f>
        <v/>
      </c>
      <c r="D5">
        <f>50*2000</f>
        <v/>
      </c>
    </row>
    <row r="6">
      <c r="A6" t="inlineStr">
        <is>
          <t>MRR Growth</t>
        </is>
      </c>
      <c r="B6">
        <f>10*5300</f>
        <v/>
      </c>
      <c r="C6">
        <f>20*5300</f>
        <v/>
      </c>
      <c r="D6">
        <f>30*5300</f>
        <v/>
      </c>
    </row>
    <row r="7">
      <c r="A7" t="inlineStr">
        <is>
          <t>MRR AI Partner</t>
        </is>
      </c>
      <c r="B7">
        <f>5*8300</f>
        <v/>
      </c>
      <c r="C7">
        <f>10*8300</f>
        <v/>
      </c>
      <c r="D7">
        <f>20*8300</f>
        <v/>
      </c>
    </row>
    <row r="8">
      <c r="A8" t="inlineStr">
        <is>
          <t>Total MRR</t>
        </is>
      </c>
      <c r="B8">
        <f>SUM(B5:B7)</f>
        <v/>
      </c>
      <c r="C8">
        <f>SUM(C5:C7)</f>
        <v/>
      </c>
      <c r="D8">
        <f>SUM(D5:D7)</f>
        <v/>
      </c>
    </row>
    <row r="9">
      <c r="A9" t="inlineStr">
        <is>
          <t>ARR</t>
        </is>
      </c>
      <c r="B9">
        <f>B8*12</f>
        <v/>
      </c>
      <c r="C9">
        <f>C8*12</f>
        <v/>
      </c>
      <c r="D9">
        <f>D8*12</f>
        <v/>
      </c>
    </row>
    <row r="10">
      <c r="A10" t="inlineStr">
        <is>
          <t>One-offs Websites</t>
        </is>
      </c>
      <c r="B10">
        <f>20*2500</f>
        <v/>
      </c>
      <c r="C10">
        <f>30*2500</f>
        <v/>
      </c>
      <c r="D10">
        <f>40*2500</f>
        <v/>
      </c>
    </row>
    <row r="11">
      <c r="A11" t="inlineStr">
        <is>
          <t>One-offs AI</t>
        </is>
      </c>
      <c r="B11">
        <f>5*18000</f>
        <v/>
      </c>
      <c r="C11">
        <f>10*18000</f>
        <v/>
      </c>
      <c r="D11">
        <f>15*18000</f>
        <v/>
      </c>
    </row>
    <row r="12">
      <c r="A12" t="inlineStr">
        <is>
          <t>SaaS Leish</t>
        </is>
      </c>
      <c r="B12">
        <f>0</f>
        <v/>
      </c>
      <c r="C12">
        <f>100*199*12</f>
        <v/>
      </c>
      <c r="D12">
        <f>300*199*12</f>
        <v/>
      </c>
    </row>
    <row r="13">
      <c r="A13" t="inlineStr">
        <is>
          <t>SaaS Eastelpro</t>
        </is>
      </c>
      <c r="B13">
        <f>0</f>
        <v/>
      </c>
      <c r="C13">
        <f>50*299*12</f>
        <v/>
      </c>
      <c r="D13">
        <f>150*299*12</f>
        <v/>
      </c>
    </row>
    <row r="14">
      <c r="A14" t="inlineStr">
        <is>
          <t>SaaS AGMX</t>
        </is>
      </c>
      <c r="B14">
        <f>0</f>
        <v/>
      </c>
      <c r="C14">
        <f>20*499*12</f>
        <v/>
      </c>
      <c r="D14">
        <f>50*499*12</f>
        <v/>
      </c>
    </row>
    <row r="15">
      <c r="A15" t="inlineStr">
        <is>
          <t>Total SaaS</t>
        </is>
      </c>
      <c r="B15">
        <f>SUM(B12:B14)</f>
        <v/>
      </c>
      <c r="C15">
        <f>SUM(C12:C14)</f>
        <v/>
      </c>
      <c r="D15">
        <f>SUM(D12:D14)</f>
        <v/>
      </c>
    </row>
    <row r="16">
      <c r="A16" t="inlineStr">
        <is>
          <t>TOTAL REVENUE</t>
        </is>
      </c>
      <c r="B16">
        <f>B9*12*0.5+B10+B11+B15</f>
        <v/>
      </c>
      <c r="C16">
        <f>B9*12*0.8+B10+B11+B15</f>
        <v/>
      </c>
      <c r="D16">
        <f>B9*12*0.9+B10+B11+B15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PROFIT &amp; LOSS</t>
        </is>
      </c>
    </row>
    <row r="3">
      <c r="A3" s="6" t="inlineStr">
        <is>
          <t>Item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</row>
    <row r="4">
      <c r="A4" t="inlineStr">
        <is>
          <t>TOTAL REVENUE</t>
        </is>
      </c>
      <c r="B4">
        <f>'Revenue Model'!B16</f>
        <v/>
      </c>
      <c r="C4">
        <f>'Revenue Model'!C16</f>
        <v/>
      </c>
      <c r="D4">
        <f>'Revenue Model'!D16</f>
        <v/>
      </c>
    </row>
    <row r="5">
      <c r="A5" t="inlineStr">
        <is>
          <t>COGS Delivery</t>
        </is>
      </c>
      <c r="B5">
        <f> (15*700+10*2000+5*3300)*12</f>
        <v/>
      </c>
      <c r="C5">
        <f> (30*700+20*2000+10*3300)*12</f>
        <v/>
      </c>
      <c r="D5">
        <f> (50*700+30*2000+20*3300)*12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</row>
    <row r="7">
      <c r="A7" t="inlineStr">
        <is>
          <t>OPEX Staff</t>
        </is>
      </c>
      <c r="B7" t="n">
        <v>300000</v>
      </c>
      <c r="C7" t="n">
        <v>600000</v>
      </c>
      <c r="D7" t="n">
        <v>1200000</v>
      </c>
    </row>
    <row r="8">
      <c r="A8" t="inlineStr">
        <is>
          <t>OPEX Marketing</t>
        </is>
      </c>
      <c r="B8" t="n">
        <v>80000</v>
      </c>
      <c r="C8" t="n">
        <v>150000</v>
      </c>
      <c r="D8" t="n">
        <v>250000</v>
      </c>
    </row>
    <row r="9">
      <c r="A9" t="inlineStr">
        <is>
          <t>TOTAL OPEX</t>
        </is>
      </c>
      <c r="B9">
        <f>B7+B8</f>
        <v/>
      </c>
      <c r="C9">
        <f>C7+C8</f>
        <v/>
      </c>
      <c r="D9">
        <f>D7+D8</f>
        <v/>
      </c>
    </row>
    <row r="10">
      <c r="A10" t="inlineStr">
        <is>
          <t>EBITDA</t>
        </is>
      </c>
      <c r="B10">
        <f>B6-B9</f>
        <v/>
      </c>
      <c r="C10">
        <f>C6-C9</f>
        <v/>
      </c>
      <c r="D10">
        <f>D6-D9</f>
        <v/>
      </c>
    </row>
    <row r="11">
      <c r="A11" t="inlineStr">
        <is>
          <t>EBITDA Margin</t>
        </is>
      </c>
      <c r="B11">
        <f>B10/B4</f>
        <v/>
      </c>
      <c r="C11">
        <f>C10/C4</f>
        <v/>
      </c>
      <c r="D11">
        <f>D10/D4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2026-08-21T11:07:55Z</dcterms:created>
  <dcterms:modified xmlns:dcterms="http://purl.org/dc/terms/" xmlns:xsi="http://www.w3.org/2001/XMLSchema-instance" xsi:type="dcterms:W3CDTF">2026-08-21T11:07:55Z</dcterms:modified>
</cp:coreProperties>
</file>